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vestment" sheetId="2" state="visible" r:id="rId4"/>
    <sheet name="Foreca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Linked to the Investment sheet total.</t>
        </r>
      </text>
    </comment>
  </commentList>
</comments>
</file>

<file path=xl/sharedStrings.xml><?xml version="1.0" encoding="utf-8"?>
<sst xmlns="http://schemas.openxmlformats.org/spreadsheetml/2006/main" count="72" uniqueCount="71">
  <si>
    <t xml:space="preserve">Project Sunrise — budget assumptions</t>
  </si>
  <si>
    <t xml:space="preserve">Blue = inputs you can change · yellow = key levers · everything else is calculated.</t>
  </si>
  <si>
    <t xml:space="preserve">Assumption</t>
  </si>
  <si>
    <t xml:space="preserve">Value</t>
  </si>
  <si>
    <t xml:space="preserve">Note</t>
  </si>
  <si>
    <t xml:space="preserve">Seats</t>
  </si>
  <si>
    <t xml:space="preserve">Seated covers incl. terrace in season</t>
  </si>
  <si>
    <t xml:space="preserve">Opening days per month</t>
  </si>
  <si>
    <t xml:space="preserve">Closed Mondays</t>
  </si>
  <si>
    <t xml:space="preserve">Covers per seat per day at full ramp</t>
  </si>
  <si>
    <t xml:space="preserve">Vrijdagmarkt achieves 3.6</t>
  </si>
  <si>
    <t xml:space="preserve">Average spend per cover (€)</t>
  </si>
  <si>
    <t xml:space="preserve">Vrijdagmarkt 2026 average: € 9.10</t>
  </si>
  <si>
    <t xml:space="preserve">Month-1 ramp (share of full)</t>
  </si>
  <si>
    <t xml:space="preserve">Rises linearly to the month-6 level</t>
  </si>
  <si>
    <t xml:space="preserve">Month-6 ramp (share of full)</t>
  </si>
  <si>
    <t xml:space="preserve">Then flat, plus growth below</t>
  </si>
  <si>
    <t xml:space="preserve">Monthly growth after month 6</t>
  </si>
  <si>
    <t xml:space="preserve">Cost of goods (share of revenue)</t>
  </si>
  <si>
    <t xml:space="preserve">Beans at internal transfer price</t>
  </si>
  <si>
    <t xml:space="preserve">Staff cost per month (€)</t>
  </si>
  <si>
    <t xml:space="preserve">6.5 FTE</t>
  </si>
  <si>
    <t xml:space="preserve">Rent per month (€)</t>
  </si>
  <si>
    <t xml:space="preserve">Korenmarkt lease offer</t>
  </si>
  <si>
    <t xml:space="preserve">Other running costs per month (€)</t>
  </si>
  <si>
    <t xml:space="preserve">Utilities, insurance, cleaning, card fees</t>
  </si>
  <si>
    <t xml:space="preserve">Opening investment (€)</t>
  </si>
  <si>
    <t xml:space="preserve">From the proposal; see Investment</t>
  </si>
  <si>
    <t xml:space="preserve">Opening investment (€, excl. VAT)</t>
  </si>
  <si>
    <t xml:space="preserve">Item</t>
  </si>
  <si>
    <t xml:space="preserve">Q1 2027</t>
  </si>
  <si>
    <t xml:space="preserve">Q2 2027</t>
  </si>
  <si>
    <t xml:space="preserve">Total</t>
  </si>
  <si>
    <t xml:space="preserve">Fit-out and furniture</t>
  </si>
  <si>
    <t xml:space="preserve">Espresso machine and grinders</t>
  </si>
  <si>
    <t xml:space="preserve">Staff hiring and training</t>
  </si>
  <si>
    <t xml:space="preserve">Opening marketing</t>
  </si>
  <si>
    <t xml:space="preserve">Contingency rate</t>
  </si>
  <si>
    <t xml:space="preserve">Contingency</t>
  </si>
  <si>
    <t xml:space="preserve">First 18 months after opening (€)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</si>
  <si>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</si>
  <si>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</si>
  <si>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</si>
  <si>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</si>
  <si>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</si>
  <si>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</si>
  <si>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</si>
  <si>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</si>
  <si>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</si>
  <si>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</si>
  <si>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</si>
  <si>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</si>
  <si>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</si>
  <si>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</si>
  <si>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</si>
  <si>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</si>
  <si>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</si>
  <si>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</si>
  <si>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</si>
  <si>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Ramp</t>
  </si>
  <si>
    <t xml:space="preserve">Covers</t>
  </si>
  <si>
    <t xml:space="preserve">Revenue</t>
  </si>
  <si>
    <t xml:space="preserve">Cost of goods</t>
  </si>
  <si>
    <t xml:space="preserve">Gross margin</t>
  </si>
  <si>
    <t xml:space="preserve">Staff</t>
  </si>
  <si>
    <t xml:space="preserve">Rent</t>
  </si>
  <si>
    <t xml:space="preserve">Other</t>
  </si>
  <si>
    <t xml:space="preserve">Operating result</t>
  </si>
  <si>
    <t xml:space="preserve">Cumulative cash</t>
  </si>
  <si>
    <t xml:space="preserve">Break-even month</t>
  </si>
  <si>
    <t xml:space="preserve">First month the cumulative cash (after the opening investment) is back above zero.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</si>
</sst>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&quot;€ &quot;#,##0.00"/>
    <numFmt numFmtId="168" formatCode="0.0%;\(0.0%\);\-"/>
    <numFmt numFmtId="169" formatCode="&quot;€ &quot;#,##0;&quot;(€ &quot;#,##0\);\-"/>
    <numFmt numFmtId="170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06366"/>
      <name val="Arial"/>
      <family val="0"/>
      <charset val="1"/>
    </font>
    <font>
      <b val="true"/>
      <sz val="11"/>
      <color rgb="FFC95F0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1E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23242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1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95F00"/>
      <rgbColor rgb="FF6063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4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result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Forecast!A12</c:f>
              <c:strCache>
                <c:ptCount val="1"/>
                <c:pt idx="0">
                  <c:v>Operating 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Forecast!$B$3:$S$3</c:f>
              <c:strCache>
                <c:ptCount val="18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</c:strCache>
            </c:strRef>
          </c:cat>
          <c:val>
            <c:numRef>
              <c:f>Forecast!$B$12:$S$12</c:f>
              <c:numCache>
                <c:formatCode>"€ "#,##0;"(€ "#,##0\);\-</c:formatCode>
                <c:ptCount val="18"/>
                <c:pt idx="0">
                  <c:v>-4366.486</c:v>
                </c:pt>
                <c:pt idx="1">
                  <c:v>-1256.40199999999</c:v>
                </c:pt>
                <c:pt idx="2">
                  <c:v>1853.682</c:v>
                </c:pt>
                <c:pt idx="3">
                  <c:v>4963.766</c:v>
                </c:pt>
                <c:pt idx="4">
                  <c:v>8067.176</c:v>
                </c:pt>
                <c:pt idx="5">
                  <c:v>11177.26</c:v>
                </c:pt>
                <c:pt idx="6">
                  <c:v>11577.7</c:v>
                </c:pt>
                <c:pt idx="7">
                  <c:v>11984.814</c:v>
                </c:pt>
                <c:pt idx="8">
                  <c:v>12391.928</c:v>
                </c:pt>
                <c:pt idx="9">
                  <c:v>12805.716</c:v>
                </c:pt>
                <c:pt idx="10">
                  <c:v>13219.504</c:v>
                </c:pt>
                <c:pt idx="11">
                  <c:v>13639.966</c:v>
                </c:pt>
                <c:pt idx="12">
                  <c:v>14067.102</c:v>
                </c:pt>
                <c:pt idx="13">
                  <c:v>14494.238</c:v>
                </c:pt>
                <c:pt idx="14">
                  <c:v>14928.048</c:v>
                </c:pt>
                <c:pt idx="15">
                  <c:v>15361.858</c:v>
                </c:pt>
                <c:pt idx="16">
                  <c:v>15802.342</c:v>
                </c:pt>
                <c:pt idx="17">
                  <c:v>16249.5</c:v>
                </c:pt>
              </c:numCache>
            </c:numRef>
          </c:val>
        </c:ser>
        <c:gapWidth val="150"/>
        <c:overlap val="0"/>
        <c:axId val="75288360"/>
        <c:axId val="72468342"/>
      </c:barChart>
      <c:lineChart>
        <c:grouping val="standard"/>
        <c:varyColors val="0"/>
        <c:ser>
          <c:idx val="1"/>
          <c:order val="1"/>
          <c:tx>
            <c:strRef>
              <c:f>Forecast!A13</c:f>
              <c:strCache>
                <c:ptCount val="1"/>
                <c:pt idx="0">
                  <c:v>Cumulative cash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Forecast!$B$3:$S$3</c:f>
              <c:strCache>
                <c:ptCount val="18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</c:strCache>
            </c:strRef>
          </c:cat>
          <c:val>
            <c:numRef>
              <c:f>Forecast!$B$13:$S$13</c:f>
              <c:numCache>
                <c:formatCode>"€ "#,##0;"(€ "#,##0\);\-</c:formatCode>
                <c:ptCount val="18"/>
                <c:pt idx="0">
                  <c:v>-127016.486</c:v>
                </c:pt>
                <c:pt idx="1">
                  <c:v>-128272.888</c:v>
                </c:pt>
                <c:pt idx="2">
                  <c:v>-126419.206</c:v>
                </c:pt>
                <c:pt idx="3">
                  <c:v>-121455.44</c:v>
                </c:pt>
                <c:pt idx="4">
                  <c:v>-113388.264</c:v>
                </c:pt>
                <c:pt idx="5">
                  <c:v>-102211.004</c:v>
                </c:pt>
                <c:pt idx="6">
                  <c:v>-90633.304</c:v>
                </c:pt>
                <c:pt idx="7">
                  <c:v>-78648.49</c:v>
                </c:pt>
                <c:pt idx="8">
                  <c:v>-66256.562</c:v>
                </c:pt>
                <c:pt idx="9">
                  <c:v>-53450.846</c:v>
                </c:pt>
                <c:pt idx="10">
                  <c:v>-40231.342</c:v>
                </c:pt>
                <c:pt idx="11">
                  <c:v>-26591.376</c:v>
                </c:pt>
                <c:pt idx="12">
                  <c:v>-12524.274</c:v>
                </c:pt>
                <c:pt idx="13">
                  <c:v>1969.96400000001</c:v>
                </c:pt>
                <c:pt idx="14">
                  <c:v>16898.012</c:v>
                </c:pt>
                <c:pt idx="15">
                  <c:v>32259.87</c:v>
                </c:pt>
                <c:pt idx="16">
                  <c:v>48062.212</c:v>
                </c:pt>
                <c:pt idx="17">
                  <c:v>64311.712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296374"/>
        <c:axId val="11979702"/>
      </c:lineChart>
      <c:catAx>
        <c:axId val="7528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68342"/>
        <c:crosses val="autoZero"/>
        <c:auto val="1"/>
        <c:lblAlgn val="ctr"/>
        <c:lblOffset val="100"/>
        <c:noMultiLvlLbl val="0"/>
      </c:catAx>
      <c:valAx>
        <c:axId val="724683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€ &quot;#,##0;&quot;(€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88360"/>
        <c:crosses val="autoZero"/>
        <c:crossBetween val="between"/>
      </c:valAx>
      <c:catAx>
        <c:axId val="3429637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79702"/>
        <c:crosses val="autoZero"/>
        <c:auto val="1"/>
        <c:lblAlgn val="ctr"/>
        <c:lblOffset val="100"/>
        <c:noMultiLvlLbl val="0"/>
      </c:catAx>
      <c:valAx>
        <c:axId val="1197970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€ &quot;#,##0;&quot;(€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9637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9</xdr:col>
      <xdr:colOff>307080</xdr:colOff>
      <xdr:row>31</xdr:row>
      <xdr:rowOff>2880</xdr:rowOff>
    </xdr:to>
    <xdr:graphicFrame>
      <xdr:nvGraphicFramePr>
        <xdr:cNvPr id="0" name="Chart 1"/>
        <xdr:cNvGraphicFramePr/>
      </xdr:nvGraphicFramePr>
      <xdr:xfrm>
        <a:off x="0" y="32385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v>80</v>
      </c>
      <c r="C5" s="3" t="s">
        <v>6</v>
      </c>
    </row>
    <row r="6" customFormat="false" ht="15" hidden="false" customHeight="false" outlineLevel="0" collapsed="false">
      <c r="A6" s="5" t="s">
        <v>7</v>
      </c>
      <c r="B6" s="6" t="n">
        <v>26</v>
      </c>
      <c r="C6" s="3" t="s">
        <v>8</v>
      </c>
    </row>
    <row r="7" customFormat="false" ht="15" hidden="false" customHeight="false" outlineLevel="0" collapsed="false">
      <c r="A7" s="5" t="s">
        <v>9</v>
      </c>
      <c r="B7" s="7" t="n">
        <v>3.2</v>
      </c>
      <c r="C7" s="3" t="s">
        <v>10</v>
      </c>
    </row>
    <row r="8" customFormat="false" ht="15" hidden="false" customHeight="false" outlineLevel="0" collapsed="false">
      <c r="A8" s="5" t="s">
        <v>11</v>
      </c>
      <c r="B8" s="8" t="n">
        <v>9.4</v>
      </c>
      <c r="C8" s="3" t="s">
        <v>12</v>
      </c>
    </row>
    <row r="9" customFormat="false" ht="15" hidden="false" customHeight="false" outlineLevel="0" collapsed="false">
      <c r="A9" s="5" t="s">
        <v>13</v>
      </c>
      <c r="B9" s="9" t="n">
        <v>0.55</v>
      </c>
      <c r="C9" s="3" t="s">
        <v>14</v>
      </c>
    </row>
    <row r="10" customFormat="false" ht="15" hidden="false" customHeight="false" outlineLevel="0" collapsed="false">
      <c r="A10" s="5" t="s">
        <v>15</v>
      </c>
      <c r="B10" s="10" t="n">
        <v>0.9</v>
      </c>
      <c r="C10" s="3" t="s">
        <v>16</v>
      </c>
    </row>
    <row r="11" customFormat="false" ht="15" hidden="false" customHeight="false" outlineLevel="0" collapsed="false">
      <c r="A11" s="5" t="s">
        <v>17</v>
      </c>
      <c r="B11" s="10" t="n">
        <v>0.01</v>
      </c>
      <c r="C11" s="3"/>
    </row>
    <row r="12" customFormat="false" ht="15" hidden="false" customHeight="false" outlineLevel="0" collapsed="false">
      <c r="A12" s="5" t="s">
        <v>18</v>
      </c>
      <c r="B12" s="10" t="n">
        <v>0.29</v>
      </c>
      <c r="C12" s="3" t="s">
        <v>19</v>
      </c>
    </row>
    <row r="13" customFormat="false" ht="15" hidden="false" customHeight="false" outlineLevel="0" collapsed="false">
      <c r="A13" s="5" t="s">
        <v>20</v>
      </c>
      <c r="B13" s="11" t="n">
        <v>21500</v>
      </c>
      <c r="C13" s="3" t="s">
        <v>21</v>
      </c>
    </row>
    <row r="14" customFormat="false" ht="15" hidden="false" customHeight="false" outlineLevel="0" collapsed="false">
      <c r="A14" s="5" t="s">
        <v>22</v>
      </c>
      <c r="B14" s="11" t="n">
        <v>4200</v>
      </c>
      <c r="C14" s="3" t="s">
        <v>23</v>
      </c>
    </row>
    <row r="15" customFormat="false" ht="15" hidden="false" customHeight="false" outlineLevel="0" collapsed="false">
      <c r="A15" s="5" t="s">
        <v>24</v>
      </c>
      <c r="B15" s="11" t="n">
        <v>3100</v>
      </c>
      <c r="C15" s="3" t="s">
        <v>25</v>
      </c>
    </row>
    <row r="16" customFormat="false" ht="15" hidden="false" customHeight="false" outlineLevel="0" collapsed="false">
      <c r="A16" s="5" t="s">
        <v>26</v>
      </c>
      <c r="B16" s="12" t="n">
        <f aca="false">Investment!D10</f>
        <v>122650</v>
      </c>
      <c r="C16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28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4" t="s">
        <v>29</v>
      </c>
      <c r="B3" s="4" t="s">
        <v>30</v>
      </c>
      <c r="C3" s="4" t="s">
        <v>31</v>
      </c>
      <c r="D3" s="4" t="s">
        <v>32</v>
      </c>
    </row>
    <row r="4" customFormat="false" ht="15" hidden="false" customHeight="false" outlineLevel="0" collapsed="false">
      <c r="A4" s="5" t="s">
        <v>33</v>
      </c>
      <c r="B4" s="11" t="n">
        <v>48000</v>
      </c>
      <c r="C4" s="11" t="n">
        <v>6000</v>
      </c>
      <c r="D4" s="13" t="n">
        <f aca="false">SUM(B4:C4)</f>
        <v>54000</v>
      </c>
    </row>
    <row r="5" customFormat="false" ht="15" hidden="false" customHeight="false" outlineLevel="0" collapsed="false">
      <c r="A5" s="5" t="s">
        <v>34</v>
      </c>
      <c r="B5" s="11" t="n">
        <v>22500</v>
      </c>
      <c r="C5" s="11" t="n">
        <v>0</v>
      </c>
      <c r="D5" s="13" t="n">
        <f aca="false">SUM(B5:C5)</f>
        <v>22500</v>
      </c>
    </row>
    <row r="6" customFormat="false" ht="15" hidden="false" customHeight="false" outlineLevel="0" collapsed="false">
      <c r="A6" s="5" t="s">
        <v>35</v>
      </c>
      <c r="B6" s="11" t="n">
        <v>9000</v>
      </c>
      <c r="C6" s="11" t="n">
        <v>14000</v>
      </c>
      <c r="D6" s="13" t="n">
        <f aca="false">SUM(B6:C6)</f>
        <v>23000</v>
      </c>
    </row>
    <row r="7" customFormat="false" ht="15" hidden="false" customHeight="false" outlineLevel="0" collapsed="false">
      <c r="A7" s="5" t="s">
        <v>36</v>
      </c>
      <c r="B7" s="11" t="n">
        <v>3500</v>
      </c>
      <c r="C7" s="11" t="n">
        <v>8500</v>
      </c>
      <c r="D7" s="13" t="n">
        <f aca="false">SUM(B7:C7)</f>
        <v>12000</v>
      </c>
    </row>
    <row r="8" customFormat="false" ht="15" hidden="false" customHeight="false" outlineLevel="0" collapsed="false">
      <c r="A8" s="2" t="s">
        <v>37</v>
      </c>
      <c r="B8" s="10" t="n">
        <v>0.1</v>
      </c>
      <c r="C8" s="2"/>
      <c r="D8" s="2"/>
    </row>
    <row r="9" customFormat="false" ht="15" hidden="false" customHeight="false" outlineLevel="0" collapsed="false">
      <c r="A9" s="2" t="s">
        <v>38</v>
      </c>
      <c r="B9" s="13" t="n">
        <f aca="false">SUM(B4:B7)*$B$8</f>
        <v>8300</v>
      </c>
      <c r="C9" s="13" t="n">
        <f aca="false">SUM(C4:C7)*$B$8</f>
        <v>2850</v>
      </c>
      <c r="D9" s="13" t="n">
        <f aca="false">SUM(B9:C9)</f>
        <v>11150</v>
      </c>
    </row>
    <row r="10" customFormat="false" ht="15" hidden="false" customHeight="false" outlineLevel="0" collapsed="false">
      <c r="A10" s="14" t="s">
        <v>32</v>
      </c>
      <c r="B10" s="15" t="n">
        <f aca="false">SUM(B4:B7)+B9</f>
        <v>91300</v>
      </c>
      <c r="C10" s="15" t="n">
        <f aca="false">SUM(C4:C7)+C9</f>
        <v>31350</v>
      </c>
      <c r="D10" s="15" t="n">
        <f aca="false">SUM(D4:D7)+D9</f>
        <v>122650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9" min="2" style="0" width="11"/>
  </cols>
  <sheetData>
    <row r="1" customFormat="false" ht="17.35" hidden="false" customHeight="false" outlineLevel="0" collapsed="false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4" t="s">
        <v>40</v>
      </c>
      <c r="B3" s="16" t="s">
        <v>41</v>
      </c>
      <c r="C3" s="16" t="s">
        <v>42</v>
      </c>
      <c r="D3" s="16" t="s">
        <v>43</v>
      </c>
      <c r="E3" s="16" t="s">
        <v>44</v>
      </c>
      <c r="F3" s="16" t="s">
        <v>45</v>
      </c>
      <c r="G3" s="16" t="s">
        <v>46</v>
      </c>
      <c r="H3" s="16" t="s">
        <v>47</v>
      </c>
      <c r="I3" s="16" t="s">
        <v>48</v>
      </c>
      <c r="J3" s="16" t="s">
        <v>49</v>
      </c>
      <c r="K3" s="16" t="s">
        <v>50</v>
      </c>
      <c r="L3" s="16" t="s">
        <v>51</v>
      </c>
      <c r="M3" s="16" t="s">
        <v>52</v>
      </c>
      <c r="N3" s="16" t="s">
        <v>53</v>
      </c>
      <c r="O3" s="16" t="s">
        <v>54</v>
      </c>
      <c r="P3" s="16" t="s">
        <v>55</v>
      </c>
      <c r="Q3" s="16" t="s">
        <v>56</v>
      </c>
      <c r="R3" s="16" t="s">
        <v>57</v>
      </c>
      <c r="S3" s="16" t="s">
        <v>58</v>
      </c>
    </row>
    <row r="4" customFormat="false" ht="15" hidden="false" customHeight="false" outlineLevel="0" collapsed="false">
      <c r="A4" s="5" t="s">
        <v>59</v>
      </c>
      <c r="B4" s="17" t="n">
        <f aca="false">Assumptions!$B$9+(Assumptions!$B$10-Assumptions!$B$9)*(1-1)/5</f>
        <v>0.55</v>
      </c>
      <c r="C4" s="17" t="n">
        <f aca="false">Assumptions!$B$9+(Assumptions!$B$10-Assumptions!$B$9)*(2-1)/5</f>
        <v>0.62</v>
      </c>
      <c r="D4" s="17" t="n">
        <f aca="false">Assumptions!$B$9+(Assumptions!$B$10-Assumptions!$B$9)*(3-1)/5</f>
        <v>0.69</v>
      </c>
      <c r="E4" s="17" t="n">
        <f aca="false">Assumptions!$B$9+(Assumptions!$B$10-Assumptions!$B$9)*(4-1)/5</f>
        <v>0.76</v>
      </c>
      <c r="F4" s="17" t="n">
        <f aca="false">Assumptions!$B$9+(Assumptions!$B$10-Assumptions!$B$9)*(5-1)/5</f>
        <v>0.83</v>
      </c>
      <c r="G4" s="17" t="n">
        <f aca="false">Assumptions!$B$9+(Assumptions!$B$10-Assumptions!$B$9)*(6-1)/5</f>
        <v>0.9</v>
      </c>
      <c r="H4" s="17" t="n">
        <f aca="false">G4*(1+Assumptions!$B$11)</f>
        <v>0.909</v>
      </c>
      <c r="I4" s="17" t="n">
        <f aca="false">H4*(1+Assumptions!$B$11)</f>
        <v>0.91809</v>
      </c>
      <c r="J4" s="17" t="n">
        <f aca="false">I4*(1+Assumptions!$B$11)</f>
        <v>0.9272709</v>
      </c>
      <c r="K4" s="17" t="n">
        <f aca="false">J4*(1+Assumptions!$B$11)</f>
        <v>0.936543609</v>
      </c>
      <c r="L4" s="17" t="n">
        <f aca="false">K4*(1+Assumptions!$B$11)</f>
        <v>0.94590904509</v>
      </c>
      <c r="M4" s="17" t="n">
        <f aca="false">L4*(1+Assumptions!$B$11)</f>
        <v>0.9553681355409</v>
      </c>
      <c r="N4" s="17" t="n">
        <f aca="false">M4*(1+Assumptions!$B$11)</f>
        <v>0.964921816896309</v>
      </c>
      <c r="O4" s="17" t="n">
        <f aca="false">N4*(1+Assumptions!$B$11)</f>
        <v>0.974571035065272</v>
      </c>
      <c r="P4" s="17" t="n">
        <f aca="false">O4*(1+Assumptions!$B$11)</f>
        <v>0.984316745415925</v>
      </c>
      <c r="Q4" s="17" t="n">
        <f aca="false">P4*(1+Assumptions!$B$11)</f>
        <v>0.994159912870084</v>
      </c>
      <c r="R4" s="17" t="n">
        <f aca="false">Q4*(1+Assumptions!$B$11)</f>
        <v>1.00410151199879</v>
      </c>
      <c r="S4" s="17" t="n">
        <f aca="false">R4*(1+Assumptions!$B$11)</f>
        <v>1.01414252711877</v>
      </c>
    </row>
    <row r="5" customFormat="false" ht="15" hidden="false" customHeight="false" outlineLevel="0" collapsed="false">
      <c r="A5" s="5" t="s">
        <v>60</v>
      </c>
      <c r="B5" s="18" t="n">
        <f aca="false">ROUND(Assumptions!$B$5*Assumptions!$B$7*Assumptions!$B$6*B4,0)</f>
        <v>3661</v>
      </c>
      <c r="C5" s="18" t="n">
        <f aca="false">ROUND(Assumptions!$B$5*Assumptions!$B$7*Assumptions!$B$6*C4,0)</f>
        <v>4127</v>
      </c>
      <c r="D5" s="18" t="n">
        <f aca="false">ROUND(Assumptions!$B$5*Assumptions!$B$7*Assumptions!$B$6*D4,0)</f>
        <v>4593</v>
      </c>
      <c r="E5" s="18" t="n">
        <f aca="false">ROUND(Assumptions!$B$5*Assumptions!$B$7*Assumptions!$B$6*E4,0)</f>
        <v>5059</v>
      </c>
      <c r="F5" s="18" t="n">
        <f aca="false">ROUND(Assumptions!$B$5*Assumptions!$B$7*Assumptions!$B$6*F4,0)</f>
        <v>5524</v>
      </c>
      <c r="G5" s="18" t="n">
        <f aca="false">ROUND(Assumptions!$B$5*Assumptions!$B$7*Assumptions!$B$6*G4,0)</f>
        <v>5990</v>
      </c>
      <c r="H5" s="18" t="n">
        <f aca="false">ROUND(Assumptions!$B$5*Assumptions!$B$7*Assumptions!$B$6*H4,0)</f>
        <v>6050</v>
      </c>
      <c r="I5" s="18" t="n">
        <f aca="false">ROUND(Assumptions!$B$5*Assumptions!$B$7*Assumptions!$B$6*I4,0)</f>
        <v>6111</v>
      </c>
      <c r="J5" s="18" t="n">
        <f aca="false">ROUND(Assumptions!$B$5*Assumptions!$B$7*Assumptions!$B$6*J4,0)</f>
        <v>6172</v>
      </c>
      <c r="K5" s="18" t="n">
        <f aca="false">ROUND(Assumptions!$B$5*Assumptions!$B$7*Assumptions!$B$6*K4,0)</f>
        <v>6234</v>
      </c>
      <c r="L5" s="18" t="n">
        <f aca="false">ROUND(Assumptions!$B$5*Assumptions!$B$7*Assumptions!$B$6*L4,0)</f>
        <v>6296</v>
      </c>
      <c r="M5" s="18" t="n">
        <f aca="false">ROUND(Assumptions!$B$5*Assumptions!$B$7*Assumptions!$B$6*M4,0)</f>
        <v>6359</v>
      </c>
      <c r="N5" s="18" t="n">
        <f aca="false">ROUND(Assumptions!$B$5*Assumptions!$B$7*Assumptions!$B$6*N4,0)</f>
        <v>6423</v>
      </c>
      <c r="O5" s="18" t="n">
        <f aca="false">ROUND(Assumptions!$B$5*Assumptions!$B$7*Assumptions!$B$6*O4,0)</f>
        <v>6487</v>
      </c>
      <c r="P5" s="18" t="n">
        <f aca="false">ROUND(Assumptions!$B$5*Assumptions!$B$7*Assumptions!$B$6*P4,0)</f>
        <v>6552</v>
      </c>
      <c r="Q5" s="18" t="n">
        <f aca="false">ROUND(Assumptions!$B$5*Assumptions!$B$7*Assumptions!$B$6*Q4,0)</f>
        <v>6617</v>
      </c>
      <c r="R5" s="18" t="n">
        <f aca="false">ROUND(Assumptions!$B$5*Assumptions!$B$7*Assumptions!$B$6*R4,0)</f>
        <v>6683</v>
      </c>
      <c r="S5" s="18" t="n">
        <f aca="false">ROUND(Assumptions!$B$5*Assumptions!$B$7*Assumptions!$B$6*S4,0)</f>
        <v>6750</v>
      </c>
    </row>
    <row r="6" customFormat="false" ht="15" hidden="false" customHeight="false" outlineLevel="0" collapsed="false">
      <c r="A6" s="5" t="s">
        <v>61</v>
      </c>
      <c r="B6" s="13" t="n">
        <f aca="false">B5*Assumptions!$B$8</f>
        <v>34413.4</v>
      </c>
      <c r="C6" s="13" t="n">
        <f aca="false">C5*Assumptions!$B$8</f>
        <v>38793.8</v>
      </c>
      <c r="D6" s="13" t="n">
        <f aca="false">D5*Assumptions!$B$8</f>
        <v>43174.2</v>
      </c>
      <c r="E6" s="13" t="n">
        <f aca="false">E5*Assumptions!$B$8</f>
        <v>47554.6</v>
      </c>
      <c r="F6" s="13" t="n">
        <f aca="false">F5*Assumptions!$B$8</f>
        <v>51925.6</v>
      </c>
      <c r="G6" s="13" t="n">
        <f aca="false">G5*Assumptions!$B$8</f>
        <v>56306</v>
      </c>
      <c r="H6" s="13" t="n">
        <f aca="false">H5*Assumptions!$B$8</f>
        <v>56870</v>
      </c>
      <c r="I6" s="13" t="n">
        <f aca="false">I5*Assumptions!$B$8</f>
        <v>57443.4</v>
      </c>
      <c r="J6" s="13" t="n">
        <f aca="false">J5*Assumptions!$B$8</f>
        <v>58016.8</v>
      </c>
      <c r="K6" s="13" t="n">
        <f aca="false">K5*Assumptions!$B$8</f>
        <v>58599.6</v>
      </c>
      <c r="L6" s="13" t="n">
        <f aca="false">L5*Assumptions!$B$8</f>
        <v>59182.4</v>
      </c>
      <c r="M6" s="13" t="n">
        <f aca="false">M5*Assumptions!$B$8</f>
        <v>59774.6</v>
      </c>
      <c r="N6" s="13" t="n">
        <f aca="false">N5*Assumptions!$B$8</f>
        <v>60376.2</v>
      </c>
      <c r="O6" s="13" t="n">
        <f aca="false">O5*Assumptions!$B$8</f>
        <v>60977.8</v>
      </c>
      <c r="P6" s="13" t="n">
        <f aca="false">P5*Assumptions!$B$8</f>
        <v>61588.8</v>
      </c>
      <c r="Q6" s="13" t="n">
        <f aca="false">Q5*Assumptions!$B$8</f>
        <v>62199.8</v>
      </c>
      <c r="R6" s="13" t="n">
        <f aca="false">R5*Assumptions!$B$8</f>
        <v>62820.2</v>
      </c>
      <c r="S6" s="13" t="n">
        <f aca="false">S5*Assumptions!$B$8</f>
        <v>63450</v>
      </c>
    </row>
    <row r="7" customFormat="false" ht="15" hidden="false" customHeight="false" outlineLevel="0" collapsed="false">
      <c r="A7" s="5" t="s">
        <v>62</v>
      </c>
      <c r="B7" s="13" t="n">
        <f aca="false">-B6*Assumptions!$B$12</f>
        <v>-9979.886</v>
      </c>
      <c r="C7" s="13" t="n">
        <f aca="false">-C6*Assumptions!$B$12</f>
        <v>-11250.202</v>
      </c>
      <c r="D7" s="13" t="n">
        <f aca="false">-D6*Assumptions!$B$12</f>
        <v>-12520.518</v>
      </c>
      <c r="E7" s="13" t="n">
        <f aca="false">-E6*Assumptions!$B$12</f>
        <v>-13790.834</v>
      </c>
      <c r="F7" s="13" t="n">
        <f aca="false">-F6*Assumptions!$B$12</f>
        <v>-15058.424</v>
      </c>
      <c r="G7" s="13" t="n">
        <f aca="false">-G6*Assumptions!$B$12</f>
        <v>-16328.74</v>
      </c>
      <c r="H7" s="13" t="n">
        <f aca="false">-H6*Assumptions!$B$12</f>
        <v>-16492.3</v>
      </c>
      <c r="I7" s="13" t="n">
        <f aca="false">-I6*Assumptions!$B$12</f>
        <v>-16658.586</v>
      </c>
      <c r="J7" s="13" t="n">
        <f aca="false">-J6*Assumptions!$B$12</f>
        <v>-16824.872</v>
      </c>
      <c r="K7" s="13" t="n">
        <f aca="false">-K6*Assumptions!$B$12</f>
        <v>-16993.884</v>
      </c>
      <c r="L7" s="13" t="n">
        <f aca="false">-L6*Assumptions!$B$12</f>
        <v>-17162.896</v>
      </c>
      <c r="M7" s="13" t="n">
        <f aca="false">-M6*Assumptions!$B$12</f>
        <v>-17334.634</v>
      </c>
      <c r="N7" s="13" t="n">
        <f aca="false">-N6*Assumptions!$B$12</f>
        <v>-17509.098</v>
      </c>
      <c r="O7" s="13" t="n">
        <f aca="false">-O6*Assumptions!$B$12</f>
        <v>-17683.562</v>
      </c>
      <c r="P7" s="13" t="n">
        <f aca="false">-P6*Assumptions!$B$12</f>
        <v>-17860.752</v>
      </c>
      <c r="Q7" s="13" t="n">
        <f aca="false">-Q6*Assumptions!$B$12</f>
        <v>-18037.942</v>
      </c>
      <c r="R7" s="13" t="n">
        <f aca="false">-R6*Assumptions!$B$12</f>
        <v>-18217.858</v>
      </c>
      <c r="S7" s="13" t="n">
        <f aca="false">-S6*Assumptions!$B$12</f>
        <v>-18400.5</v>
      </c>
    </row>
    <row r="8" customFormat="false" ht="15" hidden="false" customHeight="false" outlineLevel="0" collapsed="false">
      <c r="A8" s="14" t="s">
        <v>63</v>
      </c>
      <c r="B8" s="15" t="n">
        <f aca="false">B6+B7</f>
        <v>24433.514</v>
      </c>
      <c r="C8" s="15" t="n">
        <f aca="false">C6+C7</f>
        <v>27543.598</v>
      </c>
      <c r="D8" s="15" t="n">
        <f aca="false">D6+D7</f>
        <v>30653.682</v>
      </c>
      <c r="E8" s="15" t="n">
        <f aca="false">E6+E7</f>
        <v>33763.766</v>
      </c>
      <c r="F8" s="15" t="n">
        <f aca="false">F6+F7</f>
        <v>36867.176</v>
      </c>
      <c r="G8" s="15" t="n">
        <f aca="false">G6+G7</f>
        <v>39977.26</v>
      </c>
      <c r="H8" s="15" t="n">
        <f aca="false">H6+H7</f>
        <v>40377.7</v>
      </c>
      <c r="I8" s="15" t="n">
        <f aca="false">I6+I7</f>
        <v>40784.814</v>
      </c>
      <c r="J8" s="15" t="n">
        <f aca="false">J6+J7</f>
        <v>41191.928</v>
      </c>
      <c r="K8" s="15" t="n">
        <f aca="false">K6+K7</f>
        <v>41605.716</v>
      </c>
      <c r="L8" s="15" t="n">
        <f aca="false">L6+L7</f>
        <v>42019.504</v>
      </c>
      <c r="M8" s="15" t="n">
        <f aca="false">M6+M7</f>
        <v>42439.966</v>
      </c>
      <c r="N8" s="15" t="n">
        <f aca="false">N6+N7</f>
        <v>42867.102</v>
      </c>
      <c r="O8" s="15" t="n">
        <f aca="false">O6+O7</f>
        <v>43294.238</v>
      </c>
      <c r="P8" s="15" t="n">
        <f aca="false">P6+P7</f>
        <v>43728.048</v>
      </c>
      <c r="Q8" s="15" t="n">
        <f aca="false">Q6+Q7</f>
        <v>44161.858</v>
      </c>
      <c r="R8" s="15" t="n">
        <f aca="false">R6+R7</f>
        <v>44602.342</v>
      </c>
      <c r="S8" s="15" t="n">
        <f aca="false">S6+S7</f>
        <v>45049.5</v>
      </c>
    </row>
    <row r="9" customFormat="false" ht="15" hidden="false" customHeight="false" outlineLevel="0" collapsed="false">
      <c r="A9" s="5" t="s">
        <v>64</v>
      </c>
      <c r="B9" s="13" t="n">
        <f aca="false">-Assumptions!$B$13</f>
        <v>-21500</v>
      </c>
      <c r="C9" s="13" t="n">
        <f aca="false">-Assumptions!$B$13</f>
        <v>-21500</v>
      </c>
      <c r="D9" s="13" t="n">
        <f aca="false">-Assumptions!$B$13</f>
        <v>-21500</v>
      </c>
      <c r="E9" s="13" t="n">
        <f aca="false">-Assumptions!$B$13</f>
        <v>-21500</v>
      </c>
      <c r="F9" s="13" t="n">
        <f aca="false">-Assumptions!$B$13</f>
        <v>-21500</v>
      </c>
      <c r="G9" s="13" t="n">
        <f aca="false">-Assumptions!$B$13</f>
        <v>-21500</v>
      </c>
      <c r="H9" s="13" t="n">
        <f aca="false">-Assumptions!$B$13</f>
        <v>-21500</v>
      </c>
      <c r="I9" s="13" t="n">
        <f aca="false">-Assumptions!$B$13</f>
        <v>-21500</v>
      </c>
      <c r="J9" s="13" t="n">
        <f aca="false">-Assumptions!$B$13</f>
        <v>-21500</v>
      </c>
      <c r="K9" s="13" t="n">
        <f aca="false">-Assumptions!$B$13</f>
        <v>-21500</v>
      </c>
      <c r="L9" s="13" t="n">
        <f aca="false">-Assumptions!$B$13</f>
        <v>-21500</v>
      </c>
      <c r="M9" s="13" t="n">
        <f aca="false">-Assumptions!$B$13</f>
        <v>-21500</v>
      </c>
      <c r="N9" s="13" t="n">
        <f aca="false">-Assumptions!$B$13</f>
        <v>-21500</v>
      </c>
      <c r="O9" s="13" t="n">
        <f aca="false">-Assumptions!$B$13</f>
        <v>-21500</v>
      </c>
      <c r="P9" s="13" t="n">
        <f aca="false">-Assumptions!$B$13</f>
        <v>-21500</v>
      </c>
      <c r="Q9" s="13" t="n">
        <f aca="false">-Assumptions!$B$13</f>
        <v>-21500</v>
      </c>
      <c r="R9" s="13" t="n">
        <f aca="false">-Assumptions!$B$13</f>
        <v>-21500</v>
      </c>
      <c r="S9" s="13" t="n">
        <f aca="false">-Assumptions!$B$13</f>
        <v>-21500</v>
      </c>
    </row>
    <row r="10" customFormat="false" ht="15" hidden="false" customHeight="false" outlineLevel="0" collapsed="false">
      <c r="A10" s="5" t="s">
        <v>65</v>
      </c>
      <c r="B10" s="13" t="n">
        <f aca="false">-Assumptions!$B$14</f>
        <v>-4200</v>
      </c>
      <c r="C10" s="13" t="n">
        <f aca="false">-Assumptions!$B$14</f>
        <v>-4200</v>
      </c>
      <c r="D10" s="13" t="n">
        <f aca="false">-Assumptions!$B$14</f>
        <v>-4200</v>
      </c>
      <c r="E10" s="13" t="n">
        <f aca="false">-Assumptions!$B$14</f>
        <v>-4200</v>
      </c>
      <c r="F10" s="13" t="n">
        <f aca="false">-Assumptions!$B$14</f>
        <v>-4200</v>
      </c>
      <c r="G10" s="13" t="n">
        <f aca="false">-Assumptions!$B$14</f>
        <v>-4200</v>
      </c>
      <c r="H10" s="13" t="n">
        <f aca="false">-Assumptions!$B$14</f>
        <v>-4200</v>
      </c>
      <c r="I10" s="13" t="n">
        <f aca="false">-Assumptions!$B$14</f>
        <v>-4200</v>
      </c>
      <c r="J10" s="13" t="n">
        <f aca="false">-Assumptions!$B$14</f>
        <v>-4200</v>
      </c>
      <c r="K10" s="13" t="n">
        <f aca="false">-Assumptions!$B$14</f>
        <v>-4200</v>
      </c>
      <c r="L10" s="13" t="n">
        <f aca="false">-Assumptions!$B$14</f>
        <v>-4200</v>
      </c>
      <c r="M10" s="13" t="n">
        <f aca="false">-Assumptions!$B$14</f>
        <v>-4200</v>
      </c>
      <c r="N10" s="13" t="n">
        <f aca="false">-Assumptions!$B$14</f>
        <v>-4200</v>
      </c>
      <c r="O10" s="13" t="n">
        <f aca="false">-Assumptions!$B$14</f>
        <v>-4200</v>
      </c>
      <c r="P10" s="13" t="n">
        <f aca="false">-Assumptions!$B$14</f>
        <v>-4200</v>
      </c>
      <c r="Q10" s="13" t="n">
        <f aca="false">-Assumptions!$B$14</f>
        <v>-4200</v>
      </c>
      <c r="R10" s="13" t="n">
        <f aca="false">-Assumptions!$B$14</f>
        <v>-4200</v>
      </c>
      <c r="S10" s="13" t="n">
        <f aca="false">-Assumptions!$B$14</f>
        <v>-4200</v>
      </c>
    </row>
    <row r="11" customFormat="false" ht="15" hidden="false" customHeight="false" outlineLevel="0" collapsed="false">
      <c r="A11" s="5" t="s">
        <v>66</v>
      </c>
      <c r="B11" s="13" t="n">
        <f aca="false">-Assumptions!$B$15</f>
        <v>-3100</v>
      </c>
      <c r="C11" s="13" t="n">
        <f aca="false">-Assumptions!$B$15</f>
        <v>-3100</v>
      </c>
      <c r="D11" s="13" t="n">
        <f aca="false">-Assumptions!$B$15</f>
        <v>-3100</v>
      </c>
      <c r="E11" s="13" t="n">
        <f aca="false">-Assumptions!$B$15</f>
        <v>-3100</v>
      </c>
      <c r="F11" s="13" t="n">
        <f aca="false">-Assumptions!$B$15</f>
        <v>-3100</v>
      </c>
      <c r="G11" s="13" t="n">
        <f aca="false">-Assumptions!$B$15</f>
        <v>-3100</v>
      </c>
      <c r="H11" s="13" t="n">
        <f aca="false">-Assumptions!$B$15</f>
        <v>-3100</v>
      </c>
      <c r="I11" s="13" t="n">
        <f aca="false">-Assumptions!$B$15</f>
        <v>-3100</v>
      </c>
      <c r="J11" s="13" t="n">
        <f aca="false">-Assumptions!$B$15</f>
        <v>-3100</v>
      </c>
      <c r="K11" s="13" t="n">
        <f aca="false">-Assumptions!$B$15</f>
        <v>-3100</v>
      </c>
      <c r="L11" s="13" t="n">
        <f aca="false">-Assumptions!$B$15</f>
        <v>-3100</v>
      </c>
      <c r="M11" s="13" t="n">
        <f aca="false">-Assumptions!$B$15</f>
        <v>-3100</v>
      </c>
      <c r="N11" s="13" t="n">
        <f aca="false">-Assumptions!$B$15</f>
        <v>-3100</v>
      </c>
      <c r="O11" s="13" t="n">
        <f aca="false">-Assumptions!$B$15</f>
        <v>-3100</v>
      </c>
      <c r="P11" s="13" t="n">
        <f aca="false">-Assumptions!$B$15</f>
        <v>-3100</v>
      </c>
      <c r="Q11" s="13" t="n">
        <f aca="false">-Assumptions!$B$15</f>
        <v>-3100</v>
      </c>
      <c r="R11" s="13" t="n">
        <f aca="false">-Assumptions!$B$15</f>
        <v>-3100</v>
      </c>
      <c r="S11" s="13" t="n">
        <f aca="false">-Assumptions!$B$15</f>
        <v>-3100</v>
      </c>
    </row>
    <row r="12" customFormat="false" ht="15" hidden="false" customHeight="false" outlineLevel="0" collapsed="false">
      <c r="A12" s="14" t="s">
        <v>67</v>
      </c>
      <c r="B12" s="15" t="n">
        <f aca="false">SUM(B8:B11)</f>
        <v>-4366.486</v>
      </c>
      <c r="C12" s="15" t="n">
        <f aca="false">SUM(C8:C11)</f>
        <v>-1256.40199999999</v>
      </c>
      <c r="D12" s="15" t="n">
        <f aca="false">SUM(D8:D11)</f>
        <v>1853.682</v>
      </c>
      <c r="E12" s="15" t="n">
        <f aca="false">SUM(E8:E11)</f>
        <v>4963.766</v>
      </c>
      <c r="F12" s="15" t="n">
        <f aca="false">SUM(F8:F11)</f>
        <v>8067.176</v>
      </c>
      <c r="G12" s="15" t="n">
        <f aca="false">SUM(G8:G11)</f>
        <v>11177.26</v>
      </c>
      <c r="H12" s="15" t="n">
        <f aca="false">SUM(H8:H11)</f>
        <v>11577.7</v>
      </c>
      <c r="I12" s="15" t="n">
        <f aca="false">SUM(I8:I11)</f>
        <v>11984.814</v>
      </c>
      <c r="J12" s="15" t="n">
        <f aca="false">SUM(J8:J11)</f>
        <v>12391.928</v>
      </c>
      <c r="K12" s="15" t="n">
        <f aca="false">SUM(K8:K11)</f>
        <v>12805.716</v>
      </c>
      <c r="L12" s="15" t="n">
        <f aca="false">SUM(L8:L11)</f>
        <v>13219.504</v>
      </c>
      <c r="M12" s="15" t="n">
        <f aca="false">SUM(M8:M11)</f>
        <v>13639.966</v>
      </c>
      <c r="N12" s="15" t="n">
        <f aca="false">SUM(N8:N11)</f>
        <v>14067.102</v>
      </c>
      <c r="O12" s="15" t="n">
        <f aca="false">SUM(O8:O11)</f>
        <v>14494.238</v>
      </c>
      <c r="P12" s="15" t="n">
        <f aca="false">SUM(P8:P11)</f>
        <v>14928.048</v>
      </c>
      <c r="Q12" s="15" t="n">
        <f aca="false">SUM(Q8:Q11)</f>
        <v>15361.858</v>
      </c>
      <c r="R12" s="15" t="n">
        <f aca="false">SUM(R8:R11)</f>
        <v>15802.342</v>
      </c>
      <c r="S12" s="15" t="n">
        <f aca="false">SUM(S8:S11)</f>
        <v>16249.5</v>
      </c>
    </row>
    <row r="13" customFormat="false" ht="15" hidden="false" customHeight="false" outlineLevel="0" collapsed="false">
      <c r="A13" s="14" t="s">
        <v>68</v>
      </c>
      <c r="B13" s="19" t="n">
        <f aca="false">-Assumptions!$B$16+B12</f>
        <v>-127016.486</v>
      </c>
      <c r="C13" s="19" t="n">
        <f aca="false">B13+C12</f>
        <v>-128272.888</v>
      </c>
      <c r="D13" s="19" t="n">
        <f aca="false">C13+D12</f>
        <v>-126419.206</v>
      </c>
      <c r="E13" s="19" t="n">
        <f aca="false">D13+E12</f>
        <v>-121455.44</v>
      </c>
      <c r="F13" s="19" t="n">
        <f aca="false">E13+F12</f>
        <v>-113388.264</v>
      </c>
      <c r="G13" s="19" t="n">
        <f aca="false">F13+G12</f>
        <v>-102211.004</v>
      </c>
      <c r="H13" s="19" t="n">
        <f aca="false">G13+H12</f>
        <v>-90633.304</v>
      </c>
      <c r="I13" s="19" t="n">
        <f aca="false">H13+I12</f>
        <v>-78648.49</v>
      </c>
      <c r="J13" s="19" t="n">
        <f aca="false">I13+J12</f>
        <v>-66256.562</v>
      </c>
      <c r="K13" s="19" t="n">
        <f aca="false">J13+K12</f>
        <v>-53450.846</v>
      </c>
      <c r="L13" s="19" t="n">
        <f aca="false">K13+L12</f>
        <v>-40231.342</v>
      </c>
      <c r="M13" s="19" t="n">
        <f aca="false">L13+M12</f>
        <v>-26591.376</v>
      </c>
      <c r="N13" s="19" t="n">
        <f aca="false">M13+N12</f>
        <v>-12524.274</v>
      </c>
      <c r="O13" s="19" t="n">
        <f aca="false">N13+O12</f>
        <v>1969.96400000001</v>
      </c>
      <c r="P13" s="19" t="n">
        <f aca="false">O13+P12</f>
        <v>16898.012</v>
      </c>
      <c r="Q13" s="19" t="n">
        <f aca="false">P13+Q12</f>
        <v>32259.87</v>
      </c>
      <c r="R13" s="19" t="n">
        <f aca="false">Q13+R12</f>
        <v>48062.212</v>
      </c>
      <c r="S13" s="19" t="n">
        <f aca="false">R13+S12</f>
        <v>64311.712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5" hidden="false" customHeight="false" outlineLevel="0" collapsed="false">
      <c r="A15" s="14" t="s">
        <v>69</v>
      </c>
      <c r="B15" s="14" t="str">
        <f aca="false">IF(COUNTIF(B13:S13,"&lt;0")&gt;=18,"after M18","M"&amp;(COUNTIF(B13:S13,"&lt;0")+1))</f>
        <v>M14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5" hidden="false" customHeight="false" outlineLevel="0" collapsed="false">
      <c r="A16" s="3" t="s">
        <v>70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2026-10-24T10:03:38Z</dcterms:created>
  <dc:creator>openpyxl</dc:creator>
  <dc:description/>
  <dc:language>en-US</dc:language>
  <cp:lastModifiedBy/>
  <dcterms:modified xsi:type="dcterms:W3CDTF">2026-10-24T12:03:41Z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